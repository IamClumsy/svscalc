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/Documents/ApexGirl/SVS Calc/src/"/>
    </mc:Choice>
  </mc:AlternateContent>
  <xr:revisionPtr revIDLastSave="0" documentId="8_{AD50FE74-E378-4D44-978D-460A17ED3883}" xr6:coauthVersionLast="47" xr6:coauthVersionMax="47" xr10:uidLastSave="{00000000-0000-0000-0000-000000000000}"/>
  <bookViews>
    <workbookView xWindow="0" yWindow="500" windowWidth="31000" windowHeight="15540" xr2:uid="{BDABB9E5-B43B-4E55-B6CA-EB744F6668A7}"/>
  </bookViews>
  <sheets>
    <sheet name="GOLD" sheetId="1" r:id="rId1"/>
    <sheet name="SILVER" sheetId="3" r:id="rId2"/>
    <sheet name="BRONZE" sheetId="4" r:id="rId3"/>
    <sheet name="list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 l="1"/>
  <c r="E11" i="4"/>
  <c r="E10" i="4"/>
  <c r="E9" i="4"/>
  <c r="E8" i="4"/>
  <c r="E7" i="4"/>
  <c r="E6" i="4"/>
  <c r="E3" i="4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" i="3"/>
  <c r="E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<sst xmlns="http://schemas.openxmlformats.org/spreadsheetml/2006/main" count="105" uniqueCount="30">
  <si>
    <t>Cindy</t>
  </si>
  <si>
    <t>Cindy pics</t>
  </si>
  <si>
    <t>Private pics</t>
  </si>
  <si>
    <t>Interviews</t>
  </si>
  <si>
    <t>Demos</t>
  </si>
  <si>
    <t>Asset Coins</t>
  </si>
  <si>
    <t>Blueprints</t>
  </si>
  <si>
    <t>Parts</t>
  </si>
  <si>
    <t>Advance drawings</t>
  </si>
  <si>
    <t>Gold gems</t>
  </si>
  <si>
    <t>Expensive Private pics</t>
  </si>
  <si>
    <t>TOTAL</t>
  </si>
  <si>
    <t>TRIUMPH SHOP / GOLD SHOP</t>
  </si>
  <si>
    <t>¿Shopping Cart?</t>
  </si>
  <si>
    <t>No</t>
  </si>
  <si>
    <t>Yes</t>
  </si>
  <si>
    <t>Building Cards</t>
  </si>
  <si>
    <t>Quantity</t>
  </si>
  <si>
    <t>Price</t>
  </si>
  <si>
    <t>Sub Total</t>
  </si>
  <si>
    <t>Item</t>
  </si>
  <si>
    <t>Kesnia</t>
  </si>
  <si>
    <t>Kesnia pics</t>
  </si>
  <si>
    <t>CDs</t>
  </si>
  <si>
    <t>1. Change in Shopping Cart</t>
  </si>
  <si>
    <t>2. Check your total coins needed ---&gt;</t>
  </si>
  <si>
    <t>SILVER SHOP</t>
  </si>
  <si>
    <t>Gold Promotion cards</t>
  </si>
  <si>
    <t>Purple Promotion cards</t>
  </si>
  <si>
    <t>BRONZE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</si>
</sst>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/>
      <right/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/>
      <top style="thin">
        <color theme="7" tint="-0.249977111117893"/>
      </top>
      <bottom/>
      <diagonal/>
    </border>
    <border>
      <left/>
      <right/>
      <top style="thin">
        <color theme="7" tint="-0.249977111117893"/>
      </top>
      <bottom/>
      <diagonal/>
    </border>
    <border>
      <left/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/>
      <top/>
      <bottom/>
      <diagonal/>
    </border>
    <border>
      <left/>
      <right style="thin">
        <color theme="7" tint="-0.249977111117893"/>
      </right>
      <top/>
      <bottom/>
      <diagonal/>
    </border>
    <border>
      <left style="thin">
        <color theme="7" tint="-0.249977111117893"/>
      </left>
      <right/>
      <top/>
      <bottom style="thin">
        <color theme="7" tint="-0.249977111117893"/>
      </bottom>
      <diagonal/>
    </border>
    <border>
      <left/>
      <right/>
      <top/>
      <bottom style="thin">
        <color theme="7" tint="-0.249977111117893"/>
      </bottom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/>
      <diagonal/>
    </border>
    <border>
      <left/>
      <right/>
      <top style="thin">
        <color theme="3" tint="-0.249977111117893"/>
      </top>
      <bottom/>
      <diagonal/>
    </border>
    <border>
      <left/>
      <right style="thin">
        <color theme="3" tint="-0.249977111117893"/>
      </right>
      <top style="thin">
        <color theme="3" tint="-0.249977111117893"/>
      </top>
      <bottom/>
      <diagonal/>
    </border>
    <border>
      <left style="thin">
        <color theme="3" tint="-0.249977111117893"/>
      </left>
      <right/>
      <top/>
      <bottom/>
      <diagonal/>
    </border>
    <border>
      <left/>
      <right style="thin">
        <color theme="3" tint="-0.249977111117893"/>
      </right>
      <top/>
      <bottom/>
      <diagonal/>
    </border>
    <border>
      <left style="thin">
        <color theme="3" tint="-0.249977111117893"/>
      </left>
      <right/>
      <top/>
      <bottom style="thin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/>
      <right style="thin">
        <color theme="3" tint="-0.249977111117893"/>
      </right>
      <top/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 style="thin">
        <color theme="3" tint="-0.249977111117893"/>
      </bottom>
      <diagonal/>
    </border>
    <border>
      <left/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/>
      <right/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/>
      <top/>
      <bottom/>
      <diagonal/>
    </border>
    <border>
      <left/>
      <right style="thin">
        <color theme="5" tint="-0.499984740745262"/>
      </right>
      <top/>
      <bottom/>
      <diagonal/>
    </border>
    <border>
      <left/>
      <right/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9" xfId="0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3" fontId="0" fillId="2" borderId="9" xfId="0" applyNumberFormat="1" applyFill="1" applyBorder="1" applyAlignment="1">
      <alignment vertical="center"/>
    </xf>
    <xf numFmtId="0" fontId="0" fillId="6" borderId="8" xfId="0" applyFill="1" applyBorder="1" applyAlignment="1">
      <alignment vertical="center"/>
    </xf>
    <xf numFmtId="3" fontId="0" fillId="6" borderId="0" xfId="0" applyNumberFormat="1" applyFill="1" applyAlignment="1">
      <alignment horizontal="center" vertical="center"/>
    </xf>
    <xf numFmtId="3" fontId="0" fillId="6" borderId="9" xfId="0" applyNumberFormat="1" applyFill="1" applyBorder="1" applyAlignment="1">
      <alignment vertical="center"/>
    </xf>
    <xf numFmtId="0" fontId="0" fillId="7" borderId="5" xfId="0" applyFill="1" applyBorder="1" applyAlignment="1">
      <alignment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7" xfId="0" applyNumberFormat="1" applyFill="1" applyBorder="1" applyAlignment="1">
      <alignment vertical="center"/>
    </xf>
    <xf numFmtId="0" fontId="0" fillId="7" borderId="8" xfId="0" applyFill="1" applyBorder="1" applyAlignment="1">
      <alignment vertical="center"/>
    </xf>
    <xf numFmtId="3" fontId="0" fillId="7" borderId="0" xfId="0" applyNumberFormat="1" applyFill="1" applyAlignment="1">
      <alignment horizontal="center" vertical="center"/>
    </xf>
    <xf numFmtId="3" fontId="0" fillId="7" borderId="9" xfId="0" applyNumberForma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right" vertical="center"/>
    </xf>
    <xf numFmtId="0" fontId="0" fillId="7" borderId="14" xfId="0" applyFill="1" applyBorder="1" applyAlignment="1">
      <alignment vertical="center"/>
    </xf>
    <xf numFmtId="3" fontId="0" fillId="7" borderId="15" xfId="0" applyNumberFormat="1" applyFill="1" applyBorder="1" applyAlignment="1">
      <alignment horizontal="center" vertical="center"/>
    </xf>
    <xf numFmtId="3" fontId="0" fillId="7" borderId="16" xfId="0" applyNumberFormat="1" applyFill="1" applyBorder="1" applyAlignment="1">
      <alignment vertical="center"/>
    </xf>
    <xf numFmtId="0" fontId="0" fillId="6" borderId="17" xfId="0" applyFill="1" applyBorder="1" applyAlignment="1">
      <alignment vertical="center"/>
    </xf>
    <xf numFmtId="3" fontId="0" fillId="6" borderId="18" xfId="0" applyNumberFormat="1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3" fontId="0" fillId="7" borderId="18" xfId="0" applyNumberFormat="1" applyFill="1" applyBorder="1" applyAlignment="1">
      <alignment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vertical="center"/>
    </xf>
    <xf numFmtId="0" fontId="0" fillId="10" borderId="15" xfId="0" applyFill="1" applyBorder="1" applyAlignment="1">
      <alignment vertical="center"/>
    </xf>
    <xf numFmtId="0" fontId="0" fillId="10" borderId="16" xfId="0" applyFill="1" applyBorder="1" applyAlignment="1">
      <alignment vertical="center"/>
    </xf>
    <xf numFmtId="0" fontId="1" fillId="10" borderId="17" xfId="0" applyFont="1" applyFill="1" applyBorder="1" applyAlignment="1">
      <alignment vertical="center"/>
    </xf>
    <xf numFmtId="0" fontId="0" fillId="10" borderId="19" xfId="0" applyFill="1" applyBorder="1" applyAlignment="1">
      <alignment vertical="center"/>
    </xf>
    <xf numFmtId="0" fontId="0" fillId="10" borderId="20" xfId="0" applyFill="1" applyBorder="1" applyAlignment="1">
      <alignment vertical="center"/>
    </xf>
    <xf numFmtId="0" fontId="1" fillId="10" borderId="20" xfId="0" applyFont="1" applyFill="1" applyBorder="1" applyAlignment="1">
      <alignment vertical="center"/>
    </xf>
    <xf numFmtId="3" fontId="0" fillId="10" borderId="21" xfId="0" applyNumberFormat="1" applyFill="1" applyBorder="1" applyAlignment="1">
      <alignment vertical="center"/>
    </xf>
    <xf numFmtId="0" fontId="2" fillId="8" borderId="13" xfId="0" applyFont="1" applyFill="1" applyBorder="1" applyAlignment="1">
      <alignment vertical="center"/>
    </xf>
    <xf numFmtId="3" fontId="2" fillId="8" borderId="13" xfId="0" applyNumberFormat="1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0" fillId="6" borderId="19" xfId="0" applyFill="1" applyBorder="1" applyAlignment="1">
      <alignment vertical="center"/>
    </xf>
    <xf numFmtId="3" fontId="0" fillId="6" borderId="20" xfId="0" applyNumberFormat="1" applyFill="1" applyBorder="1" applyAlignment="1">
      <alignment horizontal="center" vertical="center"/>
    </xf>
    <xf numFmtId="3" fontId="0" fillId="6" borderId="21" xfId="0" applyNumberFormat="1" applyFill="1" applyBorder="1" applyAlignment="1">
      <alignment vertical="center"/>
    </xf>
    <xf numFmtId="3" fontId="0" fillId="6" borderId="33" xfId="0" applyNumberFormat="1" applyFill="1" applyBorder="1" applyAlignment="1">
      <alignment vertical="center"/>
    </xf>
    <xf numFmtId="3" fontId="0" fillId="7" borderId="33" xfId="0" applyNumberFormat="1" applyFill="1" applyBorder="1" applyAlignment="1">
      <alignment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1" fillId="11" borderId="28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7" borderId="29" xfId="0" applyFill="1" applyBorder="1" applyAlignment="1">
      <alignment vertical="center"/>
    </xf>
    <xf numFmtId="3" fontId="0" fillId="7" borderId="30" xfId="0" applyNumberFormat="1" applyFill="1" applyBorder="1" applyAlignment="1">
      <alignment horizontal="center" vertical="center"/>
    </xf>
    <xf numFmtId="3" fontId="0" fillId="7" borderId="31" xfId="0" applyNumberFormat="1" applyFill="1" applyBorder="1" applyAlignment="1">
      <alignment vertical="center"/>
    </xf>
    <xf numFmtId="0" fontId="0" fillId="6" borderId="32" xfId="0" applyFill="1" applyBorder="1" applyAlignment="1">
      <alignment vertical="center"/>
    </xf>
    <xf numFmtId="0" fontId="0" fillId="7" borderId="32" xfId="0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3" fontId="0" fillId="7" borderId="34" xfId="0" applyNumberFormat="1" applyFill="1" applyBorder="1" applyAlignment="1">
      <alignment horizontal="center" vertical="center"/>
    </xf>
    <xf numFmtId="3" fontId="0" fillId="7" borderId="35" xfId="0" applyNumberFormat="1" applyFill="1" applyBorder="1" applyAlignment="1">
      <alignment vertical="center"/>
    </xf>
    <xf numFmtId="0" fontId="1" fillId="12" borderId="29" xfId="0" applyFont="1" applyFill="1" applyBorder="1" applyAlignment="1">
      <alignment vertical="center"/>
    </xf>
    <xf numFmtId="0" fontId="0" fillId="12" borderId="30" xfId="0" applyFill="1" applyBorder="1" applyAlignment="1">
      <alignment vertical="center"/>
    </xf>
    <xf numFmtId="0" fontId="1" fillId="12" borderId="32" xfId="0" applyFont="1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right" vertical="center"/>
    </xf>
    <xf numFmtId="0" fontId="0" fillId="12" borderId="32" xfId="0" applyFill="1" applyBorder="1" applyAlignment="1">
      <alignment vertical="center"/>
    </xf>
    <xf numFmtId="0" fontId="1" fillId="12" borderId="0" xfId="0" applyFont="1" applyFill="1" applyAlignment="1">
      <alignment vertical="center"/>
    </xf>
    <xf numFmtId="3" fontId="0" fillId="12" borderId="33" xfId="0" applyNumberFormat="1" applyFill="1" applyBorder="1" applyAlignment="1">
      <alignment vertical="center"/>
    </xf>
    <xf numFmtId="0" fontId="0" fillId="12" borderId="31" xfId="0" applyFill="1" applyBorder="1" applyAlignment="1">
      <alignment vertical="center"/>
    </xf>
    <xf numFmtId="0" fontId="2" fillId="13" borderId="25" xfId="0" applyFont="1" applyFill="1" applyBorder="1" applyAlignment="1">
      <alignment vertical="center"/>
    </xf>
    <xf numFmtId="3" fontId="2" fillId="13" borderId="25" xfId="0" applyNumberFormat="1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086A-3574-45E1-8D30-B17C92A7D2D6}">
  <sheetPr>
    <tabColor rgb="FFFFC000"/>
  </sheetPr>
  <dimension ref="A1:E22"/>
  <sheetViews>
    <sheetView tabSelected="1" workbookViewId="0">
      <selection sqref="A1:E1"/>
    </sheetView>
  </sheetViews>
  <sheetFormatPr baseColWidth="10" defaultColWidth="11.5" defaultRowHeight="15" x14ac:dyDescent="0.2"/>
  <cols>
    <col min="1" max="1" width="14.6640625" style="1" customWidth="1"/>
    <col min="2" max="2" width="20.1640625" style="1" bestFit="1" customWidth="1"/>
    <col min="3" max="16384" width="11.5" style="1"/>
  </cols>
  <sheetData>
    <row r="1" spans="1:5" x14ac:dyDescent="0.2">
      <c r="A1" s="78" t="s">
        <v>12</v>
      </c>
      <c r="B1" s="79"/>
      <c r="C1" s="79"/>
      <c r="D1" s="79"/>
      <c r="E1" s="80"/>
    </row>
    <row r="2" spans="1:5" x14ac:dyDescent="0.2">
      <c r="A2" s="13" t="s">
        <v>24</v>
      </c>
      <c r="B2" s="11"/>
      <c r="C2" s="11"/>
      <c r="D2" s="11"/>
      <c r="E2" s="12"/>
    </row>
    <row r="3" spans="1:5" ht="16" x14ac:dyDescent="0.2">
      <c r="A3" s="13" t="s">
        <v>25</v>
      </c>
      <c r="B3" s="11"/>
      <c r="C3" s="14"/>
      <c r="D3" s="2" t="s">
        <v>11</v>
      </c>
      <c r="E3" s="3">
        <f>SUMIF(A6:A22,"Yes",E6:E22)</f>
        <v>9720000</v>
      </c>
    </row>
    <row r="4" spans="1:5" x14ac:dyDescent="0.2">
      <c r="A4" s="10"/>
      <c r="B4" s="11"/>
      <c r="C4" s="11"/>
      <c r="D4" s="15"/>
      <c r="E4" s="16"/>
    </row>
    <row r="5" spans="1:5" x14ac:dyDescent="0.2">
      <c r="A5" s="4" t="s">
        <v>13</v>
      </c>
      <c r="B5" s="5" t="s">
        <v>20</v>
      </c>
      <c r="C5" s="5" t="s">
        <v>17</v>
      </c>
      <c r="D5" s="5" t="s">
        <v>18</v>
      </c>
      <c r="E5" s="6" t="s">
        <v>19</v>
      </c>
    </row>
    <row r="6" spans="1:5" x14ac:dyDescent="0.2">
      <c r="A6" s="26" t="s">
        <v>15</v>
      </c>
      <c r="B6" s="20" t="s">
        <v>21</v>
      </c>
      <c r="C6" s="21">
        <v>1</v>
      </c>
      <c r="D6" s="21">
        <v>500000</v>
      </c>
      <c r="E6" s="22">
        <f t="shared" ref="E6:E22" si="0">C6*D6</f>
        <v>500000</v>
      </c>
    </row>
    <row r="7" spans="1:5" x14ac:dyDescent="0.2">
      <c r="A7" s="26" t="s">
        <v>15</v>
      </c>
      <c r="B7" s="17" t="s">
        <v>22</v>
      </c>
      <c r="C7" s="18">
        <v>500</v>
      </c>
      <c r="D7" s="18">
        <v>5000</v>
      </c>
      <c r="E7" s="19">
        <f t="shared" si="0"/>
        <v>2500000</v>
      </c>
    </row>
    <row r="8" spans="1:5" x14ac:dyDescent="0.2">
      <c r="A8" s="26" t="s">
        <v>15</v>
      </c>
      <c r="B8" s="23" t="s">
        <v>0</v>
      </c>
      <c r="C8" s="24">
        <v>1</v>
      </c>
      <c r="D8" s="24">
        <v>500000</v>
      </c>
      <c r="E8" s="25">
        <f t="shared" si="0"/>
        <v>500000</v>
      </c>
    </row>
    <row r="9" spans="1:5" x14ac:dyDescent="0.2">
      <c r="A9" s="26" t="s">
        <v>15</v>
      </c>
      <c r="B9" s="17" t="s">
        <v>1</v>
      </c>
      <c r="C9" s="18">
        <v>500</v>
      </c>
      <c r="D9" s="18">
        <v>5000</v>
      </c>
      <c r="E9" s="19">
        <f t="shared" si="0"/>
        <v>2500000</v>
      </c>
    </row>
    <row r="10" spans="1:5" x14ac:dyDescent="0.2">
      <c r="A10" s="26" t="s">
        <v>15</v>
      </c>
      <c r="B10" s="23" t="s">
        <v>2</v>
      </c>
      <c r="C10" s="24">
        <v>300</v>
      </c>
      <c r="D10" s="24">
        <v>5000</v>
      </c>
      <c r="E10" s="25">
        <f t="shared" si="0"/>
        <v>1500000</v>
      </c>
    </row>
    <row r="11" spans="1:5" x14ac:dyDescent="0.2">
      <c r="A11" s="26" t="s">
        <v>14</v>
      </c>
      <c r="B11" s="17" t="s">
        <v>10</v>
      </c>
      <c r="C11" s="18">
        <v>500</v>
      </c>
      <c r="D11" s="18">
        <v>15000</v>
      </c>
      <c r="E11" s="19">
        <f t="shared" si="0"/>
        <v>7500000</v>
      </c>
    </row>
    <row r="12" spans="1:5" x14ac:dyDescent="0.2">
      <c r="A12" s="26" t="s">
        <v>15</v>
      </c>
      <c r="B12" s="23" t="s">
        <v>23</v>
      </c>
      <c r="C12" s="24">
        <v>5</v>
      </c>
      <c r="D12" s="24">
        <v>60000</v>
      </c>
      <c r="E12" s="25">
        <f t="shared" si="0"/>
        <v>300000</v>
      </c>
    </row>
    <row r="13" spans="1:5" x14ac:dyDescent="0.2">
      <c r="A13" s="26" t="s">
        <v>15</v>
      </c>
      <c r="B13" s="17" t="s">
        <v>3</v>
      </c>
      <c r="C13" s="18">
        <v>5</v>
      </c>
      <c r="D13" s="18">
        <v>36000</v>
      </c>
      <c r="E13" s="19">
        <f t="shared" si="0"/>
        <v>180000</v>
      </c>
    </row>
    <row r="14" spans="1:5" x14ac:dyDescent="0.2">
      <c r="A14" s="26" t="s">
        <v>15</v>
      </c>
      <c r="B14" s="23" t="s">
        <v>4</v>
      </c>
      <c r="C14" s="24">
        <v>5</v>
      </c>
      <c r="D14" s="24">
        <v>36000</v>
      </c>
      <c r="E14" s="25">
        <f t="shared" si="0"/>
        <v>180000</v>
      </c>
    </row>
    <row r="15" spans="1:5" x14ac:dyDescent="0.2">
      <c r="A15" s="26" t="s">
        <v>14</v>
      </c>
      <c r="B15" s="17" t="s">
        <v>16</v>
      </c>
      <c r="C15" s="18">
        <v>50</v>
      </c>
      <c r="D15" s="18">
        <v>3000</v>
      </c>
      <c r="E15" s="19">
        <f t="shared" si="0"/>
        <v>150000</v>
      </c>
    </row>
    <row r="16" spans="1:5" x14ac:dyDescent="0.2">
      <c r="A16" s="26" t="s">
        <v>15</v>
      </c>
      <c r="B16" s="23" t="s">
        <v>5</v>
      </c>
      <c r="C16" s="24">
        <v>50000</v>
      </c>
      <c r="D16" s="24">
        <v>3</v>
      </c>
      <c r="E16" s="25">
        <f t="shared" si="0"/>
        <v>150000</v>
      </c>
    </row>
    <row r="17" spans="1:5" x14ac:dyDescent="0.2">
      <c r="A17" s="26" t="s">
        <v>15</v>
      </c>
      <c r="B17" s="17" t="s">
        <v>6</v>
      </c>
      <c r="C17" s="18">
        <v>500</v>
      </c>
      <c r="D17" s="18">
        <v>300</v>
      </c>
      <c r="E17" s="19">
        <f t="shared" si="0"/>
        <v>150000</v>
      </c>
    </row>
    <row r="18" spans="1:5" x14ac:dyDescent="0.2">
      <c r="A18" s="26" t="s">
        <v>15</v>
      </c>
      <c r="B18" s="23" t="s">
        <v>7</v>
      </c>
      <c r="C18" s="24">
        <v>500</v>
      </c>
      <c r="D18" s="24">
        <v>300</v>
      </c>
      <c r="E18" s="25">
        <f t="shared" si="0"/>
        <v>150000</v>
      </c>
    </row>
    <row r="19" spans="1:5" x14ac:dyDescent="0.2">
      <c r="A19" s="26" t="s">
        <v>15</v>
      </c>
      <c r="B19" s="17" t="s">
        <v>8</v>
      </c>
      <c r="C19" s="18">
        <v>100</v>
      </c>
      <c r="D19" s="18">
        <v>1500</v>
      </c>
      <c r="E19" s="19">
        <f t="shared" si="0"/>
        <v>150000</v>
      </c>
    </row>
    <row r="20" spans="1:5" x14ac:dyDescent="0.2">
      <c r="A20" s="26" t="s">
        <v>15</v>
      </c>
      <c r="B20" s="23" t="s">
        <v>28</v>
      </c>
      <c r="C20" s="24">
        <v>200</v>
      </c>
      <c r="D20" s="24">
        <v>900</v>
      </c>
      <c r="E20" s="25">
        <f t="shared" si="0"/>
        <v>180000</v>
      </c>
    </row>
    <row r="21" spans="1:5" x14ac:dyDescent="0.2">
      <c r="A21" s="26" t="s">
        <v>15</v>
      </c>
      <c r="B21" s="17" t="s">
        <v>27</v>
      </c>
      <c r="C21" s="18">
        <v>200</v>
      </c>
      <c r="D21" s="18">
        <v>2400</v>
      </c>
      <c r="E21" s="19">
        <f t="shared" si="0"/>
        <v>480000</v>
      </c>
    </row>
    <row r="22" spans="1:5" x14ac:dyDescent="0.2">
      <c r="A22" s="26" t="s">
        <v>15</v>
      </c>
      <c r="B22" s="7" t="s">
        <v>9</v>
      </c>
      <c r="C22" s="8">
        <v>500</v>
      </c>
      <c r="D22" s="8">
        <v>600</v>
      </c>
      <c r="E22" s="9">
        <f t="shared" si="0"/>
        <v>300000</v>
      </c>
    </row>
  </sheetData>
  <mergeCells count="1">
    <mergeCell ref="A1:E1"/>
  </mergeCells>
  <conditionalFormatting sqref="A6:A22">
    <cfRule type="containsText" dxfId="5" priority="1" operator="containsText" text="No">
      <formula>NOT(ISERROR(SEARCH("No",A6)))</formula>
    </cfRule>
    <cfRule type="containsText" dxfId="4" priority="2" operator="containsText" text="Yes">
      <formula>NOT(ISERROR(SEARCH("Yes",A6)))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843680-3FA1-4DD5-8FCF-6FA485153B88}">
          <x14:formula1>
            <xm:f>list!$A$1:$A$2</xm:f>
          </x14:formula1>
          <xm:sqref>A6:A22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FEEE-A224-43A0-9CAC-0B3BDCE7EF10}">
  <sheetPr>
    <tabColor theme="3" tint="0.39997558519241921"/>
  </sheetPr>
  <dimension ref="A1:E19"/>
  <sheetViews>
    <sheetView workbookViewId="0">
      <selection activeCell="I12" sqref="I12"/>
    </sheetView>
  </sheetViews>
  <sheetFormatPr baseColWidth="10" defaultColWidth="11.5" defaultRowHeight="15" x14ac:dyDescent="0.2"/>
  <cols>
    <col min="1" max="1" width="14.6640625" style="1" customWidth="1"/>
    <col min="2" max="2" width="20.1640625" style="1" bestFit="1" customWidth="1"/>
    <col min="3" max="16384" width="11.5" style="1"/>
  </cols>
  <sheetData>
    <row r="1" spans="1:5" x14ac:dyDescent="0.2">
      <c r="A1" s="81" t="s">
        <v>26</v>
      </c>
      <c r="B1" s="82"/>
      <c r="C1" s="82"/>
      <c r="D1" s="82"/>
      <c r="E1" s="83"/>
    </row>
    <row r="2" spans="1:5" x14ac:dyDescent="0.2">
      <c r="A2" s="39" t="s">
        <v>24</v>
      </c>
      <c r="B2" s="40"/>
      <c r="C2" s="40"/>
      <c r="D2" s="40"/>
      <c r="E2" s="41"/>
    </row>
    <row r="3" spans="1:5" ht="16" x14ac:dyDescent="0.2">
      <c r="A3" s="42" t="s">
        <v>25</v>
      </c>
      <c r="B3" s="27"/>
      <c r="C3" s="28"/>
      <c r="D3" s="47" t="s">
        <v>11</v>
      </c>
      <c r="E3" s="48">
        <f>SUMIF(A6:A19,"Yes",E6:E19)</f>
        <v>4626000</v>
      </c>
    </row>
    <row r="4" spans="1:5" x14ac:dyDescent="0.2">
      <c r="A4" s="43"/>
      <c r="B4" s="44"/>
      <c r="C4" s="44"/>
      <c r="D4" s="45"/>
      <c r="E4" s="46"/>
    </row>
    <row r="5" spans="1:5" x14ac:dyDescent="0.2">
      <c r="A5" s="36" t="s">
        <v>13</v>
      </c>
      <c r="B5" s="37" t="s">
        <v>20</v>
      </c>
      <c r="C5" s="37" t="s">
        <v>17</v>
      </c>
      <c r="D5" s="37" t="s">
        <v>18</v>
      </c>
      <c r="E5" s="38" t="s">
        <v>19</v>
      </c>
    </row>
    <row r="6" spans="1:5" x14ac:dyDescent="0.2">
      <c r="A6" s="49" t="s">
        <v>15</v>
      </c>
      <c r="B6" s="29" t="s">
        <v>21</v>
      </c>
      <c r="C6" s="30">
        <v>1</v>
      </c>
      <c r="D6" s="30">
        <v>500000</v>
      </c>
      <c r="E6" s="31">
        <f t="shared" ref="E6:E19" si="0">C6*D6</f>
        <v>500000</v>
      </c>
    </row>
    <row r="7" spans="1:5" x14ac:dyDescent="0.2">
      <c r="A7" s="49" t="s">
        <v>15</v>
      </c>
      <c r="B7" s="32" t="s">
        <v>22</v>
      </c>
      <c r="C7" s="18">
        <v>200</v>
      </c>
      <c r="D7" s="18">
        <v>5000</v>
      </c>
      <c r="E7" s="33">
        <f t="shared" si="0"/>
        <v>1000000</v>
      </c>
    </row>
    <row r="8" spans="1:5" x14ac:dyDescent="0.2">
      <c r="A8" s="49" t="s">
        <v>15</v>
      </c>
      <c r="B8" s="34" t="s">
        <v>0</v>
      </c>
      <c r="C8" s="24">
        <v>1</v>
      </c>
      <c r="D8" s="24">
        <v>500000</v>
      </c>
      <c r="E8" s="35">
        <f t="shared" si="0"/>
        <v>500000</v>
      </c>
    </row>
    <row r="9" spans="1:5" x14ac:dyDescent="0.2">
      <c r="A9" s="49" t="s">
        <v>15</v>
      </c>
      <c r="B9" s="32" t="s">
        <v>1</v>
      </c>
      <c r="C9" s="18">
        <v>200</v>
      </c>
      <c r="D9" s="18">
        <v>5000</v>
      </c>
      <c r="E9" s="33">
        <f t="shared" si="0"/>
        <v>1000000</v>
      </c>
    </row>
    <row r="10" spans="1:5" x14ac:dyDescent="0.2">
      <c r="A10" s="49" t="s">
        <v>15</v>
      </c>
      <c r="B10" s="34" t="s">
        <v>2</v>
      </c>
      <c r="C10" s="24">
        <v>150</v>
      </c>
      <c r="D10" s="24">
        <v>5000</v>
      </c>
      <c r="E10" s="35">
        <f t="shared" si="0"/>
        <v>750000</v>
      </c>
    </row>
    <row r="11" spans="1:5" x14ac:dyDescent="0.2">
      <c r="A11" s="49" t="s">
        <v>14</v>
      </c>
      <c r="B11" s="32" t="s">
        <v>10</v>
      </c>
      <c r="C11" s="18">
        <v>200</v>
      </c>
      <c r="D11" s="18">
        <v>15000</v>
      </c>
      <c r="E11" s="33">
        <f t="shared" si="0"/>
        <v>3000000</v>
      </c>
    </row>
    <row r="12" spans="1:5" x14ac:dyDescent="0.2">
      <c r="A12" s="49" t="s">
        <v>14</v>
      </c>
      <c r="B12" s="34" t="s">
        <v>16</v>
      </c>
      <c r="C12" s="24">
        <v>30</v>
      </c>
      <c r="D12" s="24">
        <v>3000</v>
      </c>
      <c r="E12" s="35">
        <f t="shared" si="0"/>
        <v>90000</v>
      </c>
    </row>
    <row r="13" spans="1:5" x14ac:dyDescent="0.2">
      <c r="A13" s="49" t="s">
        <v>15</v>
      </c>
      <c r="B13" s="32" t="s">
        <v>5</v>
      </c>
      <c r="C13" s="18">
        <v>30000</v>
      </c>
      <c r="D13" s="18">
        <v>3</v>
      </c>
      <c r="E13" s="33">
        <f t="shared" si="0"/>
        <v>90000</v>
      </c>
    </row>
    <row r="14" spans="1:5" x14ac:dyDescent="0.2">
      <c r="A14" s="49" t="s">
        <v>15</v>
      </c>
      <c r="B14" s="34" t="s">
        <v>6</v>
      </c>
      <c r="C14" s="24">
        <v>300</v>
      </c>
      <c r="D14" s="24">
        <v>300</v>
      </c>
      <c r="E14" s="35">
        <f t="shared" si="0"/>
        <v>90000</v>
      </c>
    </row>
    <row r="15" spans="1:5" x14ac:dyDescent="0.2">
      <c r="A15" s="49" t="s">
        <v>15</v>
      </c>
      <c r="B15" s="32" t="s">
        <v>7</v>
      </c>
      <c r="C15" s="18">
        <v>300</v>
      </c>
      <c r="D15" s="18">
        <v>300</v>
      </c>
      <c r="E15" s="33">
        <f t="shared" si="0"/>
        <v>90000</v>
      </c>
    </row>
    <row r="16" spans="1:5" x14ac:dyDescent="0.2">
      <c r="A16" s="49" t="s">
        <v>15</v>
      </c>
      <c r="B16" s="34" t="s">
        <v>8</v>
      </c>
      <c r="C16" s="24">
        <v>60</v>
      </c>
      <c r="D16" s="24">
        <v>1500</v>
      </c>
      <c r="E16" s="35">
        <f t="shared" si="0"/>
        <v>90000</v>
      </c>
    </row>
    <row r="17" spans="1:5" x14ac:dyDescent="0.2">
      <c r="A17" s="49" t="s">
        <v>15</v>
      </c>
      <c r="B17" s="32" t="s">
        <v>28</v>
      </c>
      <c r="C17" s="18">
        <v>120</v>
      </c>
      <c r="D17" s="18">
        <v>900</v>
      </c>
      <c r="E17" s="33">
        <f t="shared" si="0"/>
        <v>108000</v>
      </c>
    </row>
    <row r="18" spans="1:5" x14ac:dyDescent="0.2">
      <c r="A18" s="49" t="s">
        <v>15</v>
      </c>
      <c r="B18" s="34" t="s">
        <v>27</v>
      </c>
      <c r="C18" s="24">
        <v>120</v>
      </c>
      <c r="D18" s="24">
        <v>2400</v>
      </c>
      <c r="E18" s="35">
        <f t="shared" si="0"/>
        <v>288000</v>
      </c>
    </row>
    <row r="19" spans="1:5" x14ac:dyDescent="0.2">
      <c r="A19" s="49" t="s">
        <v>15</v>
      </c>
      <c r="B19" s="50" t="s">
        <v>9</v>
      </c>
      <c r="C19" s="51">
        <v>200</v>
      </c>
      <c r="D19" s="51">
        <v>600</v>
      </c>
      <c r="E19" s="52">
        <f t="shared" si="0"/>
        <v>120000</v>
      </c>
    </row>
  </sheetData>
  <mergeCells count="1">
    <mergeCell ref="A1:E1"/>
  </mergeCells>
  <conditionalFormatting sqref="A6:A19">
    <cfRule type="containsText" dxfId="3" priority="1" operator="containsText" text="No">
      <formula>NOT(ISERROR(SEARCH("No",A6)))</formula>
    </cfRule>
    <cfRule type="containsText" dxfId="2" priority="2" operator="containsText" text="Yes">
      <formula>NOT(ISERROR(SEARCH("Yes",A6)))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F0053A-6CF6-470D-99A7-4014BD7322FD}">
          <x14:formula1>
            <xm:f>list!$A$1:$A$2</xm:f>
          </x14:formula1>
          <xm:sqref>A6:A19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751D-A4AB-4C72-8A75-E337B779242D}">
  <sheetPr>
    <tabColor theme="5"/>
  </sheetPr>
  <dimension ref="A1:E12"/>
  <sheetViews>
    <sheetView workbookViewId="0">
      <selection activeCell="E23" sqref="E23"/>
    </sheetView>
  </sheetViews>
  <sheetFormatPr baseColWidth="10" defaultColWidth="11.5" defaultRowHeight="15" x14ac:dyDescent="0.2"/>
  <cols>
    <col min="1" max="1" width="14.6640625" style="1" customWidth="1"/>
    <col min="2" max="2" width="20.1640625" style="1" bestFit="1" customWidth="1"/>
    <col min="3" max="16384" width="11.5" style="1"/>
  </cols>
  <sheetData>
    <row r="1" spans="1:5" x14ac:dyDescent="0.2">
      <c r="A1" s="84" t="s">
        <v>29</v>
      </c>
      <c r="B1" s="84"/>
      <c r="C1" s="84"/>
      <c r="D1" s="84"/>
      <c r="E1" s="84"/>
    </row>
    <row r="2" spans="1:5" x14ac:dyDescent="0.2">
      <c r="A2" s="67" t="s">
        <v>24</v>
      </c>
      <c r="B2" s="68"/>
      <c r="C2" s="68"/>
      <c r="D2" s="68"/>
      <c r="E2" s="75"/>
    </row>
    <row r="3" spans="1:5" ht="16" x14ac:dyDescent="0.2">
      <c r="A3" s="69" t="s">
        <v>25</v>
      </c>
      <c r="B3" s="70"/>
      <c r="C3" s="71"/>
      <c r="D3" s="76" t="s">
        <v>11</v>
      </c>
      <c r="E3" s="77">
        <f>SUMIF(A6:A12,"Yes",E6:E12)</f>
        <v>808000</v>
      </c>
    </row>
    <row r="4" spans="1:5" x14ac:dyDescent="0.2">
      <c r="A4" s="72"/>
      <c r="B4" s="70"/>
      <c r="C4" s="70"/>
      <c r="D4" s="73"/>
      <c r="E4" s="74"/>
    </row>
    <row r="5" spans="1:5" x14ac:dyDescent="0.2">
      <c r="A5" s="55" t="s">
        <v>13</v>
      </c>
      <c r="B5" s="56" t="s">
        <v>20</v>
      </c>
      <c r="C5" s="56" t="s">
        <v>17</v>
      </c>
      <c r="D5" s="56" t="s">
        <v>18</v>
      </c>
      <c r="E5" s="57" t="s">
        <v>19</v>
      </c>
    </row>
    <row r="6" spans="1:5" x14ac:dyDescent="0.2">
      <c r="A6" s="58" t="s">
        <v>15</v>
      </c>
      <c r="B6" s="59" t="s">
        <v>2</v>
      </c>
      <c r="C6" s="60">
        <v>50</v>
      </c>
      <c r="D6" s="60">
        <v>5000</v>
      </c>
      <c r="E6" s="61">
        <f t="shared" ref="E6:E12" si="0">C6*D6</f>
        <v>250000</v>
      </c>
    </row>
    <row r="7" spans="1:5" x14ac:dyDescent="0.2">
      <c r="A7" s="58" t="s">
        <v>14</v>
      </c>
      <c r="B7" s="62" t="s">
        <v>10</v>
      </c>
      <c r="C7" s="18">
        <v>100</v>
      </c>
      <c r="D7" s="18">
        <v>15000</v>
      </c>
      <c r="E7" s="53">
        <f t="shared" si="0"/>
        <v>1500000</v>
      </c>
    </row>
    <row r="8" spans="1:5" x14ac:dyDescent="0.2">
      <c r="A8" s="58" t="s">
        <v>14</v>
      </c>
      <c r="B8" s="63" t="s">
        <v>16</v>
      </c>
      <c r="C8" s="24">
        <v>30</v>
      </c>
      <c r="D8" s="24">
        <v>3000</v>
      </c>
      <c r="E8" s="54">
        <f t="shared" si="0"/>
        <v>90000</v>
      </c>
    </row>
    <row r="9" spans="1:5" x14ac:dyDescent="0.2">
      <c r="A9" s="58" t="s">
        <v>15</v>
      </c>
      <c r="B9" s="62" t="s">
        <v>5</v>
      </c>
      <c r="C9" s="18">
        <v>30000</v>
      </c>
      <c r="D9" s="18">
        <v>3</v>
      </c>
      <c r="E9" s="53">
        <f t="shared" si="0"/>
        <v>90000</v>
      </c>
    </row>
    <row r="10" spans="1:5" x14ac:dyDescent="0.2">
      <c r="A10" s="58" t="s">
        <v>15</v>
      </c>
      <c r="B10" s="63" t="s">
        <v>6</v>
      </c>
      <c r="C10" s="24">
        <v>300</v>
      </c>
      <c r="D10" s="24">
        <v>300</v>
      </c>
      <c r="E10" s="54">
        <f t="shared" si="0"/>
        <v>90000</v>
      </c>
    </row>
    <row r="11" spans="1:5" x14ac:dyDescent="0.2">
      <c r="A11" s="58" t="s">
        <v>15</v>
      </c>
      <c r="B11" s="62" t="s">
        <v>7</v>
      </c>
      <c r="C11" s="18">
        <v>300</v>
      </c>
      <c r="D11" s="18">
        <v>300</v>
      </c>
      <c r="E11" s="53">
        <f t="shared" si="0"/>
        <v>90000</v>
      </c>
    </row>
    <row r="12" spans="1:5" x14ac:dyDescent="0.2">
      <c r="A12" s="58" t="s">
        <v>15</v>
      </c>
      <c r="B12" s="64" t="s">
        <v>27</v>
      </c>
      <c r="C12" s="65">
        <v>120</v>
      </c>
      <c r="D12" s="65">
        <v>2400</v>
      </c>
      <c r="E12" s="66">
        <f t="shared" si="0"/>
        <v>288000</v>
      </c>
    </row>
  </sheetData>
  <mergeCells count="1">
    <mergeCell ref="A1:E1"/>
  </mergeCells>
  <conditionalFormatting sqref="A6:A12">
    <cfRule type="containsText" dxfId="1" priority="1" operator="containsText" text="No">
      <formula>NOT(ISERROR(SEARCH("No",A6)))</formula>
    </cfRule>
    <cfRule type="containsText" dxfId="0" priority="2" operator="containsText" text="Yes">
      <formula>NOT(ISERROR(SEARCH("Yes",A6)))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FC4790-EC5A-4967-B16E-4362DFE035BA}">
          <x14:formula1>
            <xm:f>list!$A$1:$A$2</xm:f>
          </x14:formula1>
          <xm:sqref>A6:A12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50D4-1017-444E-89BF-6A3B9B7DAB19}">
  <dimension ref="A1:A2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 t="s">
        <v>15</v>
      </c>
    </row>
    <row r="2" spans="1:1" x14ac:dyDescent="0.2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SILVER</vt:lpstr>
      <vt:lpstr>BRONZE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Garcia</dc:creator>
  <cp:lastModifiedBy>Microsoft Office User</cp:lastModifiedBy>
  <dcterms:created xsi:type="dcterms:W3CDTF">2026-02-28T02:12:57Z</dcterms:created>
  <dcterms:modified xsi:type="dcterms:W3CDTF">2026-03-03T17:39:51Z</dcterms:modified>
</cp:coreProperties>
</file>